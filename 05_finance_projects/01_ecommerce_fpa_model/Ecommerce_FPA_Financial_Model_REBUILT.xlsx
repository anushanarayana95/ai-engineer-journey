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ony9\Downloads\"/>
    </mc:Choice>
  </mc:AlternateContent>
  <xr:revisionPtr revIDLastSave="0" documentId="13_ncr:1_{180F8C96-30D3-4E71-A38E-17D61AC642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shboard" sheetId="1" r:id="rId1"/>
    <sheet name="Model" sheetId="2" r:id="rId2"/>
    <sheet name="Assumptions" sheetId="3" r:id="rId3"/>
    <sheet name="Scenarios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4" l="1"/>
  <c r="E13" i="4" s="1"/>
  <c r="B12" i="4"/>
  <c r="D12" i="4" s="1"/>
  <c r="G12" i="4" s="1"/>
  <c r="B11" i="4"/>
  <c r="C11" i="4" s="1"/>
  <c r="F11" i="4" s="1"/>
  <c r="B10" i="4"/>
  <c r="C10" i="4" s="1"/>
  <c r="F10" i="4" s="1"/>
  <c r="B9" i="4"/>
  <c r="E9" i="4" s="1"/>
  <c r="B8" i="4"/>
  <c r="D8" i="4" s="1"/>
  <c r="G8" i="4" s="1"/>
  <c r="D7" i="4"/>
  <c r="G7" i="4" s="1"/>
  <c r="C7" i="4"/>
  <c r="F7" i="4" s="1"/>
  <c r="B7" i="4"/>
  <c r="E7" i="4" s="1"/>
  <c r="F6" i="4"/>
  <c r="D6" i="4"/>
  <c r="G6" i="4" s="1"/>
  <c r="C6" i="4"/>
  <c r="B6" i="4"/>
  <c r="E6" i="4" s="1"/>
  <c r="D5" i="4"/>
  <c r="G5" i="4" s="1"/>
  <c r="C5" i="4"/>
  <c r="F5" i="4" s="1"/>
  <c r="B5" i="4"/>
  <c r="E5" i="4" s="1"/>
  <c r="D4" i="4"/>
  <c r="G4" i="4" s="1"/>
  <c r="C4" i="4"/>
  <c r="F4" i="4" s="1"/>
  <c r="B4" i="4"/>
  <c r="E4" i="4" s="1"/>
  <c r="D3" i="4"/>
  <c r="G3" i="4" s="1"/>
  <c r="C3" i="4"/>
  <c r="F3" i="4" s="1"/>
  <c r="B3" i="4"/>
  <c r="E3" i="4" s="1"/>
  <c r="D2" i="4"/>
  <c r="G2" i="4" s="1"/>
  <c r="C2" i="4"/>
  <c r="F2" i="4" s="1"/>
  <c r="B2" i="4"/>
  <c r="E2" i="4" s="1"/>
  <c r="H13" i="2"/>
  <c r="D13" i="2"/>
  <c r="E13" i="2" s="1"/>
  <c r="H12" i="2"/>
  <c r="D12" i="2"/>
  <c r="E12" i="2" s="1"/>
  <c r="H11" i="2"/>
  <c r="D11" i="2"/>
  <c r="E11" i="2" s="1"/>
  <c r="H10" i="2"/>
  <c r="D10" i="2"/>
  <c r="E10" i="2" s="1"/>
  <c r="H9" i="2"/>
  <c r="D9" i="2"/>
  <c r="E9" i="2" s="1"/>
  <c r="H8" i="2"/>
  <c r="D8" i="2"/>
  <c r="E8" i="2" s="1"/>
  <c r="H7" i="2"/>
  <c r="D7" i="2"/>
  <c r="E7" i="2" s="1"/>
  <c r="H6" i="2"/>
  <c r="D6" i="2"/>
  <c r="E6" i="2" s="1"/>
  <c r="H5" i="2"/>
  <c r="D5" i="2"/>
  <c r="E5" i="2" s="1"/>
  <c r="H4" i="2"/>
  <c r="D4" i="2"/>
  <c r="E4" i="2" s="1"/>
  <c r="H3" i="2"/>
  <c r="D3" i="2"/>
  <c r="E3" i="2" s="1"/>
  <c r="H2" i="2"/>
  <c r="D2" i="2"/>
  <c r="E2" i="2" s="1"/>
  <c r="E4" i="1"/>
  <c r="B3" i="1"/>
  <c r="D13" i="4" l="1"/>
  <c r="G13" i="4" s="1"/>
  <c r="C13" i="4"/>
  <c r="F13" i="4" s="1"/>
  <c r="E12" i="4"/>
  <c r="C9" i="4"/>
  <c r="F9" i="4" s="1"/>
  <c r="C12" i="4"/>
  <c r="F12" i="4" s="1"/>
  <c r="E8" i="4"/>
  <c r="K4" i="2"/>
  <c r="F4" i="2"/>
  <c r="F5" i="2"/>
  <c r="K5" i="2"/>
  <c r="K8" i="2"/>
  <c r="F8" i="2"/>
  <c r="K12" i="2"/>
  <c r="F12" i="2"/>
  <c r="F13" i="2"/>
  <c r="K13" i="2"/>
  <c r="K2" i="2"/>
  <c r="F2" i="2"/>
  <c r="B5" i="1" s="1"/>
  <c r="F3" i="2"/>
  <c r="K3" i="2"/>
  <c r="F7" i="2"/>
  <c r="K7" i="2"/>
  <c r="K10" i="2"/>
  <c r="F10" i="2"/>
  <c r="F11" i="2"/>
  <c r="K11" i="2"/>
  <c r="K6" i="2"/>
  <c r="F6" i="2"/>
  <c r="F9" i="2"/>
  <c r="K9" i="2"/>
  <c r="D11" i="4"/>
  <c r="G11" i="4" s="1"/>
  <c r="E11" i="4"/>
  <c r="D9" i="4"/>
  <c r="G9" i="4" s="1"/>
  <c r="D10" i="4"/>
  <c r="G10" i="4" s="1"/>
  <c r="E10" i="4"/>
  <c r="C8" i="4"/>
  <c r="F8" i="4" s="1"/>
  <c r="O2" i="2" l="1"/>
  <c r="P2" i="2" s="1"/>
  <c r="L2" i="2"/>
  <c r="B4" i="1"/>
  <c r="O7" i="2"/>
  <c r="L7" i="2"/>
  <c r="O4" i="2"/>
  <c r="L4" i="2"/>
  <c r="O3" i="2"/>
  <c r="L3" i="2"/>
  <c r="O9" i="2"/>
  <c r="L9" i="2"/>
  <c r="O6" i="2"/>
  <c r="L6" i="2"/>
  <c r="O11" i="2"/>
  <c r="L11" i="2"/>
  <c r="O5" i="2"/>
  <c r="L5" i="2"/>
  <c r="O10" i="2"/>
  <c r="L10" i="2"/>
  <c r="L13" i="2"/>
  <c r="O13" i="2"/>
  <c r="O12" i="2"/>
  <c r="L12" i="2"/>
  <c r="O8" i="2"/>
  <c r="L8" i="2"/>
  <c r="E5" i="1"/>
  <c r="B6" i="1" l="1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E3" i="1" s="1"/>
  <c r="E6" i="1" l="1"/>
</calcChain>
</file>

<file path=xl/sharedStrings.xml><?xml version="1.0" encoding="utf-8"?>
<sst xmlns="http://schemas.openxmlformats.org/spreadsheetml/2006/main" count="71" uniqueCount="55">
  <si>
    <t>E-commerce FP&amp;A Dashboard</t>
  </si>
  <si>
    <t>FY2026 Revenue</t>
  </si>
  <si>
    <t>Ending Cash</t>
  </si>
  <si>
    <t>FY2026 EBITDA</t>
  </si>
  <si>
    <t>Forecast Revenue (Jul-Dec)</t>
  </si>
  <si>
    <t>Average Gross Margin</t>
  </si>
  <si>
    <t>Forecast EBITDA (Jul-Dec)</t>
  </si>
  <si>
    <t>Average EBITDA Margin</t>
  </si>
  <si>
    <t>Cash Floor</t>
  </si>
  <si>
    <t>Key management questions</t>
  </si>
  <si>
    <t>1. What is driving revenue and EBITDA growth?</t>
  </si>
  <si>
    <t>2. Where are margins under pressure?</t>
  </si>
  <si>
    <t>3. How sensitive is cash to working-capital assumptions?</t>
  </si>
  <si>
    <t>4. What changes under downside/upside scenarios?</t>
  </si>
  <si>
    <t>Month</t>
  </si>
  <si>
    <t>Revenue</t>
  </si>
  <si>
    <t>COGS %</t>
  </si>
  <si>
    <t>COGS</t>
  </si>
  <si>
    <t>Gross Profit</t>
  </si>
  <si>
    <t>Gross Margin %</t>
  </si>
  <si>
    <t>Marketing %</t>
  </si>
  <si>
    <t>Marketing</t>
  </si>
  <si>
    <t>Payroll</t>
  </si>
  <si>
    <t>Other OpEx</t>
  </si>
  <si>
    <t>EBITDA</t>
  </si>
  <si>
    <t>EBITDA Margin %</t>
  </si>
  <si>
    <t>AR Days</t>
  </si>
  <si>
    <t>AP Days</t>
  </si>
  <si>
    <t>Operating Cash Flow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</si>
  <si>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</si>
  <si>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</si>
  <si>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</si>
  <si>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</si>
  <si>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</si>
  <si>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</si>
  <si>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</si>
  <si>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</si>
  <si>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</si>
  <si>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</si>
  <si>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</si>
  <si>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</si>
  <si>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Assumption</t>
  </si>
  <si>
    <t>Base</t>
  </si>
  <si>
    <t>Downside</t>
  </si>
  <si>
    <t>Upside</t>
  </si>
  <si>
    <t>Revenue growth (forecast avg)</t>
  </si>
  <si>
    <t>Payroll growth</t>
  </si>
  <si>
    <t>AR days</t>
  </si>
  <si>
    <t>AP days</t>
  </si>
  <si>
    <t>Base Revenue</t>
  </si>
  <si>
    <t>Downside Revenue</t>
  </si>
  <si>
    <t>Upside Revenue</t>
  </si>
  <si>
    <t>Base EBITDA</t>
  </si>
  <si>
    <t>Downside EBITDA</t>
  </si>
  <si>
    <t>Upside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</si>
</sst>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Model!$B$1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Model!$A$2:$A$13</c:f>
              <c:strCache>
                <c:ptCount val="12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  <c:pt idx="10">
                  <c:v>Nov-26</c:v>
                </c:pt>
                <c:pt idx="11">
                  <c:v>Dec-26</c:v>
                </c:pt>
              </c:strCache>
            </c:strRef>
          </c:cat>
          <c:val>
            <c:numRef>
              <c:f>Model!$B$2:$B$13</c:f>
              <c:numCache>
                <c:formatCode>\$#,##0</c:formatCode>
                <c:ptCount val="12"/>
                <c:pt idx="0">
                  <c:v>118000</c:v>
                </c:pt>
                <c:pt idx="1">
                  <c:v>124000</c:v>
                </c:pt>
                <c:pt idx="2">
                  <c:v>132000</c:v>
                </c:pt>
                <c:pt idx="3">
                  <c:v>128000</c:v>
                </c:pt>
                <c:pt idx="4">
                  <c:v>141000</c:v>
                </c:pt>
                <c:pt idx="5">
                  <c:v>149000</c:v>
                </c:pt>
                <c:pt idx="6">
                  <c:v>155000</c:v>
                </c:pt>
                <c:pt idx="7">
                  <c:v>162000</c:v>
                </c:pt>
                <c:pt idx="8">
                  <c:v>170000</c:v>
                </c:pt>
                <c:pt idx="9">
                  <c:v>178000</c:v>
                </c:pt>
                <c:pt idx="10">
                  <c:v>187000</c:v>
                </c:pt>
                <c:pt idx="11">
                  <c:v>196000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21-433B-A509-59F74CA48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8" customWidth="1"/>
    <col min="2" max="2" width="24" customWidth="1"/>
    <col min="3" max="3" width="12" customWidth="1"/>
    <col min="4" max="4" width="28" customWidth="1"/>
    <col min="5" max="5" width="20" customWidth="1"/>
  </cols>
  <sheetData>
    <row r="1" spans="1:5" x14ac:dyDescent="0.35">
      <c r="A1" s="1" t="s">
        <v>0</v>
      </c>
      <c r="B1" s="1"/>
      <c r="C1" s="1"/>
      <c r="D1" s="1"/>
      <c r="E1" s="1"/>
    </row>
    <row r="3" spans="1:5" x14ac:dyDescent="0.35">
      <c r="A3" t="s">
        <v>1</v>
      </c>
      <c r="B3" s="2">
        <f>SUM(Model!B2:B13)</f>
        <v>1840000</v>
      </c>
      <c r="D3" t="s">
        <v>2</v>
      </c>
      <c r="E3" s="2">
        <f>Model!P13</f>
        <v>1232978</v>
      </c>
    </row>
    <row r="4" spans="1:5" x14ac:dyDescent="0.35">
      <c r="A4" t="s">
        <v>3</v>
      </c>
      <c r="B4" s="2">
        <f>SUM(Model!K2:K13)</f>
        <v>471008</v>
      </c>
      <c r="D4" t="s">
        <v>4</v>
      </c>
      <c r="E4" s="2">
        <f>SUM(Model!B8:B13)</f>
        <v>1048000</v>
      </c>
    </row>
    <row r="5" spans="1:5" x14ac:dyDescent="0.35">
      <c r="A5" t="s">
        <v>5</v>
      </c>
      <c r="B5" s="3">
        <f>AVERAGE(Model!F2:F13)</f>
        <v>0.61</v>
      </c>
      <c r="D5" t="s">
        <v>6</v>
      </c>
      <c r="E5" s="2">
        <f>SUM(Model!K8:K13)</f>
        <v>297855</v>
      </c>
    </row>
    <row r="6" spans="1:5" x14ac:dyDescent="0.35">
      <c r="A6" t="s">
        <v>7</v>
      </c>
      <c r="B6" s="3">
        <f>AVERAGE(Model!L2:L13)</f>
        <v>0.2500684706177308</v>
      </c>
      <c r="D6" t="s">
        <v>8</v>
      </c>
      <c r="E6" s="2">
        <f>MIN(Model!P2:P13)</f>
        <v>187142</v>
      </c>
    </row>
    <row r="8" spans="1:5" x14ac:dyDescent="0.35">
      <c r="A8" t="s">
        <v>9</v>
      </c>
    </row>
    <row r="9" spans="1:5" x14ac:dyDescent="0.35">
      <c r="A9" t="s">
        <v>10</v>
      </c>
    </row>
    <row r="10" spans="1:5" x14ac:dyDescent="0.35">
      <c r="A10" t="s">
        <v>11</v>
      </c>
    </row>
    <row r="11" spans="1:5" x14ac:dyDescent="0.35">
      <c r="A11" t="s">
        <v>12</v>
      </c>
    </row>
    <row r="12" spans="1:5" x14ac:dyDescent="0.35">
      <c r="A12" t="s">
        <v>13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4" width="12" customWidth="1"/>
    <col min="5" max="5" width="14" customWidth="1"/>
    <col min="6" max="6" width="21" customWidth="1"/>
    <col min="7" max="7" width="13" customWidth="1"/>
    <col min="8" max="10" width="12" customWidth="1"/>
    <col min="11" max="11" width="18" customWidth="1"/>
    <col min="12" max="12" width="21" customWidth="1"/>
    <col min="13" max="14" width="12" customWidth="1"/>
    <col min="15" max="15" width="28" customWidth="1"/>
    <col min="16" max="16" width="13" customWidth="1"/>
  </cols>
  <sheetData>
    <row r="1" spans="1:16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</v>
      </c>
    </row>
    <row r="2" spans="1:16" x14ac:dyDescent="0.35">
      <c r="A2" t="s">
        <v>29</v>
      </c>
      <c r="B2" s="2">
        <v>118000</v>
      </c>
      <c r="C2" s="3">
        <v>0.41</v>
      </c>
      <c r="D2" s="2">
        <f t="shared" ref="D2:D13" si="0">B2*C2</f>
        <v>48380</v>
      </c>
      <c r="E2" s="2">
        <f t="shared" ref="E2:E13" si="1">B2-D2</f>
        <v>69620</v>
      </c>
      <c r="F2" s="3">
        <f t="shared" ref="F2:F13" si="2">IFERROR(E2/B2,0)</f>
        <v>0.59</v>
      </c>
      <c r="G2" s="3">
        <v>0.14000000000000001</v>
      </c>
      <c r="H2" s="2">
        <f t="shared" ref="H2:H13" si="3">B2*G2</f>
        <v>16520</v>
      </c>
      <c r="I2" s="2">
        <v>21000</v>
      </c>
      <c r="J2" s="2">
        <v>8500</v>
      </c>
      <c r="K2" s="2">
        <f t="shared" ref="K2:K13" si="4">E2-H2-I2-J2</f>
        <v>23600</v>
      </c>
      <c r="L2" s="3">
        <f t="shared" ref="L2:L13" si="5">IFERROR(K2/B2,0)</f>
        <v>0.2</v>
      </c>
      <c r="M2">
        <v>35</v>
      </c>
      <c r="N2">
        <v>28</v>
      </c>
      <c r="O2" s="2">
        <f t="shared" ref="O2:O13" si="6">K2-(B2/30*C2)+(D2/30*N2)</f>
        <v>67142</v>
      </c>
      <c r="P2" s="2">
        <f>120000+O2</f>
        <v>187142</v>
      </c>
    </row>
    <row r="3" spans="1:16" x14ac:dyDescent="0.35">
      <c r="A3" t="s">
        <v>30</v>
      </c>
      <c r="B3" s="2">
        <v>124000</v>
      </c>
      <c r="C3" s="3">
        <v>0.4</v>
      </c>
      <c r="D3" s="2">
        <f t="shared" si="0"/>
        <v>49600</v>
      </c>
      <c r="E3" s="2">
        <f t="shared" si="1"/>
        <v>74400</v>
      </c>
      <c r="F3" s="3">
        <f t="shared" si="2"/>
        <v>0.6</v>
      </c>
      <c r="G3" s="3">
        <v>0.14499999999999999</v>
      </c>
      <c r="H3" s="2">
        <f t="shared" si="3"/>
        <v>17980</v>
      </c>
      <c r="I3" s="2">
        <v>21200</v>
      </c>
      <c r="J3" s="2">
        <v>8600</v>
      </c>
      <c r="K3" s="2">
        <f t="shared" si="4"/>
        <v>26620</v>
      </c>
      <c r="L3" s="3">
        <f t="shared" si="5"/>
        <v>0.21467741935483872</v>
      </c>
      <c r="M3">
        <v>35</v>
      </c>
      <c r="N3">
        <v>28</v>
      </c>
      <c r="O3" s="2">
        <f t="shared" si="6"/>
        <v>71260</v>
      </c>
      <c r="P3" s="2">
        <f t="shared" ref="P3:P13" si="7">P2+O3</f>
        <v>258402</v>
      </c>
    </row>
    <row r="4" spans="1:16" x14ac:dyDescent="0.35">
      <c r="A4" t="s">
        <v>31</v>
      </c>
      <c r="B4" s="2">
        <v>132000</v>
      </c>
      <c r="C4" s="3">
        <v>0.40500000000000003</v>
      </c>
      <c r="D4" s="2">
        <f t="shared" si="0"/>
        <v>53460</v>
      </c>
      <c r="E4" s="2">
        <f t="shared" si="1"/>
        <v>78540</v>
      </c>
      <c r="F4" s="3">
        <f t="shared" si="2"/>
        <v>0.59499999999999997</v>
      </c>
      <c r="G4" s="3">
        <v>0.15</v>
      </c>
      <c r="H4" s="2">
        <f t="shared" si="3"/>
        <v>19800</v>
      </c>
      <c r="I4" s="2">
        <v>21500</v>
      </c>
      <c r="J4" s="2">
        <v>8700</v>
      </c>
      <c r="K4" s="2">
        <f t="shared" si="4"/>
        <v>28540</v>
      </c>
      <c r="L4" s="3">
        <f t="shared" si="5"/>
        <v>0.21621212121212122</v>
      </c>
      <c r="M4">
        <v>35</v>
      </c>
      <c r="N4">
        <v>28</v>
      </c>
      <c r="O4" s="2">
        <f t="shared" si="6"/>
        <v>76654</v>
      </c>
      <c r="P4" s="2">
        <f t="shared" si="7"/>
        <v>335056</v>
      </c>
    </row>
    <row r="5" spans="1:16" x14ac:dyDescent="0.35">
      <c r="A5" t="s">
        <v>32</v>
      </c>
      <c r="B5" s="2">
        <v>128000</v>
      </c>
      <c r="C5" s="3">
        <v>0.42</v>
      </c>
      <c r="D5" s="2">
        <f t="shared" si="0"/>
        <v>53760</v>
      </c>
      <c r="E5" s="2">
        <f t="shared" si="1"/>
        <v>74240</v>
      </c>
      <c r="F5" s="3">
        <f t="shared" si="2"/>
        <v>0.57999999999999996</v>
      </c>
      <c r="G5" s="3">
        <v>0.14799999999999999</v>
      </c>
      <c r="H5" s="2">
        <f t="shared" si="3"/>
        <v>18944</v>
      </c>
      <c r="I5" s="2">
        <v>21800</v>
      </c>
      <c r="J5" s="2">
        <v>8800</v>
      </c>
      <c r="K5" s="2">
        <f t="shared" si="4"/>
        <v>24696</v>
      </c>
      <c r="L5" s="3">
        <f t="shared" si="5"/>
        <v>0.19293750000000001</v>
      </c>
      <c r="M5">
        <v>35</v>
      </c>
      <c r="N5">
        <v>28</v>
      </c>
      <c r="O5" s="2">
        <f t="shared" si="6"/>
        <v>73080</v>
      </c>
      <c r="P5" s="2">
        <f t="shared" si="7"/>
        <v>408136</v>
      </c>
    </row>
    <row r="6" spans="1:16" x14ac:dyDescent="0.35">
      <c r="A6" t="s">
        <v>33</v>
      </c>
      <c r="B6" s="2">
        <v>141000</v>
      </c>
      <c r="C6" s="3">
        <v>0.39500000000000002</v>
      </c>
      <c r="D6" s="2">
        <f t="shared" si="0"/>
        <v>55695</v>
      </c>
      <c r="E6" s="2">
        <f t="shared" si="1"/>
        <v>85305</v>
      </c>
      <c r="F6" s="3">
        <f t="shared" si="2"/>
        <v>0.60499999999999998</v>
      </c>
      <c r="G6" s="3">
        <v>0.15</v>
      </c>
      <c r="H6" s="2">
        <f t="shared" si="3"/>
        <v>21150</v>
      </c>
      <c r="I6" s="2">
        <v>22000</v>
      </c>
      <c r="J6" s="2">
        <v>9000</v>
      </c>
      <c r="K6" s="2">
        <f t="shared" si="4"/>
        <v>33155</v>
      </c>
      <c r="L6" s="3">
        <f t="shared" si="5"/>
        <v>0.23514184397163121</v>
      </c>
      <c r="M6">
        <v>35</v>
      </c>
      <c r="N6">
        <v>28</v>
      </c>
      <c r="O6" s="2">
        <f t="shared" si="6"/>
        <v>83280.5</v>
      </c>
      <c r="P6" s="2">
        <f t="shared" si="7"/>
        <v>491416.5</v>
      </c>
    </row>
    <row r="7" spans="1:16" x14ac:dyDescent="0.35">
      <c r="A7" t="s">
        <v>34</v>
      </c>
      <c r="B7" s="2">
        <v>149000</v>
      </c>
      <c r="C7" s="3">
        <v>0.39</v>
      </c>
      <c r="D7" s="2">
        <f t="shared" si="0"/>
        <v>58110</v>
      </c>
      <c r="E7" s="2">
        <f t="shared" si="1"/>
        <v>90890</v>
      </c>
      <c r="F7" s="3">
        <f t="shared" si="2"/>
        <v>0.61</v>
      </c>
      <c r="G7" s="3">
        <v>0.152</v>
      </c>
      <c r="H7" s="2">
        <f t="shared" si="3"/>
        <v>22648</v>
      </c>
      <c r="I7" s="2">
        <v>22500</v>
      </c>
      <c r="J7" s="2">
        <v>9200</v>
      </c>
      <c r="K7" s="2">
        <f t="shared" si="4"/>
        <v>36542</v>
      </c>
      <c r="L7" s="3">
        <f t="shared" si="5"/>
        <v>0.24524832214765099</v>
      </c>
      <c r="M7">
        <v>35</v>
      </c>
      <c r="N7">
        <v>28</v>
      </c>
      <c r="O7" s="2">
        <f t="shared" si="6"/>
        <v>88841</v>
      </c>
      <c r="P7" s="2">
        <f t="shared" si="7"/>
        <v>580257.5</v>
      </c>
    </row>
    <row r="8" spans="1:16" x14ac:dyDescent="0.35">
      <c r="A8" t="s">
        <v>35</v>
      </c>
      <c r="B8" s="2">
        <v>155000</v>
      </c>
      <c r="C8" s="3">
        <v>0.38500000000000001</v>
      </c>
      <c r="D8" s="2">
        <f t="shared" si="0"/>
        <v>59675</v>
      </c>
      <c r="E8" s="2">
        <f t="shared" si="1"/>
        <v>95325</v>
      </c>
      <c r="F8" s="3">
        <f t="shared" si="2"/>
        <v>0.61499999999999999</v>
      </c>
      <c r="G8" s="3">
        <v>0.15</v>
      </c>
      <c r="H8" s="2">
        <f t="shared" si="3"/>
        <v>23250</v>
      </c>
      <c r="I8" s="2">
        <v>23000</v>
      </c>
      <c r="J8" s="2">
        <v>9400</v>
      </c>
      <c r="K8" s="2">
        <f t="shared" si="4"/>
        <v>39675</v>
      </c>
      <c r="L8" s="3">
        <f t="shared" si="5"/>
        <v>0.25596774193548388</v>
      </c>
      <c r="M8">
        <v>35</v>
      </c>
      <c r="N8">
        <v>28</v>
      </c>
      <c r="O8" s="2">
        <f t="shared" si="6"/>
        <v>93382.5</v>
      </c>
      <c r="P8" s="2">
        <f t="shared" si="7"/>
        <v>673640</v>
      </c>
    </row>
    <row r="9" spans="1:16" x14ac:dyDescent="0.35">
      <c r="A9" t="s">
        <v>36</v>
      </c>
      <c r="B9" s="2">
        <v>162000</v>
      </c>
      <c r="C9" s="3">
        <v>0.38</v>
      </c>
      <c r="D9" s="2">
        <f t="shared" si="0"/>
        <v>61560</v>
      </c>
      <c r="E9" s="2">
        <f t="shared" si="1"/>
        <v>100440</v>
      </c>
      <c r="F9" s="3">
        <f t="shared" si="2"/>
        <v>0.62</v>
      </c>
      <c r="G9" s="3">
        <v>0.14799999999999999</v>
      </c>
      <c r="H9" s="2">
        <f t="shared" si="3"/>
        <v>23976</v>
      </c>
      <c r="I9" s="2">
        <v>23500</v>
      </c>
      <c r="J9" s="2">
        <v>9600</v>
      </c>
      <c r="K9" s="2">
        <f t="shared" si="4"/>
        <v>43364</v>
      </c>
      <c r="L9" s="3">
        <f t="shared" si="5"/>
        <v>0.26767901234567903</v>
      </c>
      <c r="M9">
        <v>35</v>
      </c>
      <c r="N9">
        <v>28</v>
      </c>
      <c r="O9" s="2">
        <f t="shared" si="6"/>
        <v>98768</v>
      </c>
      <c r="P9" s="2">
        <f t="shared" si="7"/>
        <v>772408</v>
      </c>
    </row>
    <row r="10" spans="1:16" x14ac:dyDescent="0.35">
      <c r="A10" t="s">
        <v>37</v>
      </c>
      <c r="B10" s="2">
        <v>170000</v>
      </c>
      <c r="C10" s="3">
        <v>0.38</v>
      </c>
      <c r="D10" s="2">
        <f t="shared" si="0"/>
        <v>64600</v>
      </c>
      <c r="E10" s="2">
        <f t="shared" si="1"/>
        <v>105400</v>
      </c>
      <c r="F10" s="3">
        <f t="shared" si="2"/>
        <v>0.62</v>
      </c>
      <c r="G10" s="3">
        <v>0.14499999999999999</v>
      </c>
      <c r="H10" s="2">
        <f t="shared" si="3"/>
        <v>24650</v>
      </c>
      <c r="I10" s="2">
        <v>24000</v>
      </c>
      <c r="J10" s="2">
        <v>9800</v>
      </c>
      <c r="K10" s="2">
        <f t="shared" si="4"/>
        <v>46950</v>
      </c>
      <c r="L10" s="3">
        <f t="shared" si="5"/>
        <v>0.2761764705882353</v>
      </c>
      <c r="M10">
        <v>35</v>
      </c>
      <c r="N10">
        <v>28</v>
      </c>
      <c r="O10" s="2">
        <f t="shared" si="6"/>
        <v>105090</v>
      </c>
      <c r="P10" s="2">
        <f t="shared" si="7"/>
        <v>877498</v>
      </c>
    </row>
    <row r="11" spans="1:16" x14ac:dyDescent="0.35">
      <c r="A11" t="s">
        <v>38</v>
      </c>
      <c r="B11" s="2">
        <v>178000</v>
      </c>
      <c r="C11" s="3">
        <v>0.375</v>
      </c>
      <c r="D11" s="2">
        <f t="shared" si="0"/>
        <v>66750</v>
      </c>
      <c r="E11" s="2">
        <f t="shared" si="1"/>
        <v>111250</v>
      </c>
      <c r="F11" s="3">
        <f t="shared" si="2"/>
        <v>0.625</v>
      </c>
      <c r="G11" s="3">
        <v>0.14299999999999999</v>
      </c>
      <c r="H11" s="2">
        <f t="shared" si="3"/>
        <v>25453.999999999996</v>
      </c>
      <c r="I11" s="2">
        <v>24500</v>
      </c>
      <c r="J11" s="2">
        <v>10000</v>
      </c>
      <c r="K11" s="2">
        <f t="shared" si="4"/>
        <v>51296</v>
      </c>
      <c r="L11" s="3">
        <f t="shared" si="5"/>
        <v>0.28817977528089889</v>
      </c>
      <c r="M11">
        <v>35</v>
      </c>
      <c r="N11">
        <v>28</v>
      </c>
      <c r="O11" s="2">
        <f t="shared" si="6"/>
        <v>111371</v>
      </c>
      <c r="P11" s="2">
        <f t="shared" si="7"/>
        <v>988869</v>
      </c>
    </row>
    <row r="12" spans="1:16" x14ac:dyDescent="0.35">
      <c r="A12" t="s">
        <v>39</v>
      </c>
      <c r="B12" s="2">
        <v>187000</v>
      </c>
      <c r="C12" s="3">
        <v>0.37</v>
      </c>
      <c r="D12" s="2">
        <f t="shared" si="0"/>
        <v>69190</v>
      </c>
      <c r="E12" s="2">
        <f t="shared" si="1"/>
        <v>117810</v>
      </c>
      <c r="F12" s="3">
        <f t="shared" si="2"/>
        <v>0.63</v>
      </c>
      <c r="G12" s="3">
        <v>0.14000000000000001</v>
      </c>
      <c r="H12" s="2">
        <f t="shared" si="3"/>
        <v>26180.000000000004</v>
      </c>
      <c r="I12" s="2">
        <v>25000</v>
      </c>
      <c r="J12" s="2">
        <v>10200</v>
      </c>
      <c r="K12" s="2">
        <f t="shared" si="4"/>
        <v>56430</v>
      </c>
      <c r="L12" s="3">
        <f t="shared" si="5"/>
        <v>0.30176470588235293</v>
      </c>
      <c r="M12">
        <v>35</v>
      </c>
      <c r="N12">
        <v>28</v>
      </c>
      <c r="O12" s="2">
        <f t="shared" si="6"/>
        <v>118701</v>
      </c>
      <c r="P12" s="2">
        <f t="shared" si="7"/>
        <v>1107570</v>
      </c>
    </row>
    <row r="13" spans="1:16" x14ac:dyDescent="0.35">
      <c r="A13" t="s">
        <v>40</v>
      </c>
      <c r="B13" s="2">
        <v>196000</v>
      </c>
      <c r="C13" s="3">
        <v>0.37</v>
      </c>
      <c r="D13" s="2">
        <f t="shared" si="0"/>
        <v>72520</v>
      </c>
      <c r="E13" s="2">
        <f t="shared" si="1"/>
        <v>123480</v>
      </c>
      <c r="F13" s="3">
        <f t="shared" si="2"/>
        <v>0.63</v>
      </c>
      <c r="G13" s="3">
        <v>0.14000000000000001</v>
      </c>
      <c r="H13" s="2">
        <f t="shared" si="3"/>
        <v>27440.000000000004</v>
      </c>
      <c r="I13" s="2">
        <v>25500</v>
      </c>
      <c r="J13" s="2">
        <v>10400</v>
      </c>
      <c r="K13" s="2">
        <f t="shared" si="4"/>
        <v>60140</v>
      </c>
      <c r="L13" s="3">
        <f t="shared" si="5"/>
        <v>0.30683673469387757</v>
      </c>
      <c r="M13">
        <v>35</v>
      </c>
      <c r="N13">
        <v>28</v>
      </c>
      <c r="O13" s="2">
        <f t="shared" si="6"/>
        <v>125408</v>
      </c>
      <c r="P13" s="2">
        <f t="shared" si="7"/>
        <v>1232978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4" width="12" customWidth="1"/>
  </cols>
  <sheetData>
    <row r="1" spans="1:4" x14ac:dyDescent="0.35">
      <c r="A1" s="1" t="s">
        <v>41</v>
      </c>
      <c r="B1" s="1" t="s">
        <v>42</v>
      </c>
      <c r="C1" s="1" t="s">
        <v>43</v>
      </c>
      <c r="D1" s="1" t="s">
        <v>44</v>
      </c>
    </row>
    <row r="2" spans="1:4" x14ac:dyDescent="0.35">
      <c r="A2" t="s">
        <v>45</v>
      </c>
      <c r="B2">
        <v>7.4999999999999997E-2</v>
      </c>
      <c r="C2">
        <v>0.03</v>
      </c>
      <c r="D2">
        <v>0.11</v>
      </c>
    </row>
    <row r="3" spans="1:4" x14ac:dyDescent="0.35">
      <c r="A3" t="s">
        <v>16</v>
      </c>
      <c r="B3">
        <v>0.375</v>
      </c>
      <c r="C3">
        <v>0.41</v>
      </c>
      <c r="D3">
        <v>0.35</v>
      </c>
    </row>
    <row r="4" spans="1:4" x14ac:dyDescent="0.35">
      <c r="A4" t="s">
        <v>20</v>
      </c>
      <c r="B4">
        <v>0.14000000000000001</v>
      </c>
      <c r="C4">
        <v>0.17</v>
      </c>
      <c r="D4">
        <v>0.12</v>
      </c>
    </row>
    <row r="5" spans="1:4" x14ac:dyDescent="0.35">
      <c r="A5" t="s">
        <v>46</v>
      </c>
      <c r="B5">
        <v>0.04</v>
      </c>
      <c r="C5">
        <v>0.06</v>
      </c>
      <c r="D5">
        <v>0.03</v>
      </c>
    </row>
    <row r="6" spans="1:4" x14ac:dyDescent="0.35">
      <c r="A6" t="s">
        <v>47</v>
      </c>
      <c r="B6">
        <v>35</v>
      </c>
      <c r="C6">
        <v>45</v>
      </c>
      <c r="D6">
        <v>30</v>
      </c>
    </row>
    <row r="7" spans="1:4" x14ac:dyDescent="0.35">
      <c r="A7" t="s">
        <v>48</v>
      </c>
      <c r="B7">
        <v>28</v>
      </c>
      <c r="C7">
        <v>21</v>
      </c>
      <c r="D7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4" width="27" customWidth="1"/>
    <col min="5" max="7" width="28" customWidth="1"/>
  </cols>
  <sheetData>
    <row r="1" spans="1:7" x14ac:dyDescent="0.35">
      <c r="A1" s="1" t="s">
        <v>14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 x14ac:dyDescent="0.35">
      <c r="A2" t="s">
        <v>29</v>
      </c>
      <c r="B2" s="2">
        <f>Model!B2</f>
        <v>118000</v>
      </c>
      <c r="C2" s="2">
        <f>Model!B2</f>
        <v>118000</v>
      </c>
      <c r="D2" s="2">
        <f>Model!B2</f>
        <v>118000</v>
      </c>
      <c r="E2" s="2">
        <f>B2*(1-Assumptions!$B$3-Assumptions!$B$4)-Model!I2-Model!J2</f>
        <v>27730</v>
      </c>
      <c r="F2" s="2">
        <f>C2*(1-Assumptions!$C$3-Assumptions!$C$4)-Model!I2*(1+Assumptions!$C$5)-Model!J2</f>
        <v>18800.000000000007</v>
      </c>
      <c r="G2" s="2">
        <f>D2*(1-Assumptions!$D$3-Assumptions!$D$4)-Model!I2*(1+Assumptions!$D$5)-Model!J2</f>
        <v>32410</v>
      </c>
    </row>
    <row r="3" spans="1:7" x14ac:dyDescent="0.35">
      <c r="A3" t="s">
        <v>30</v>
      </c>
      <c r="B3" s="2">
        <f>Model!B3</f>
        <v>124000</v>
      </c>
      <c r="C3" s="2">
        <f>Model!B3</f>
        <v>124000</v>
      </c>
      <c r="D3" s="2">
        <f>Model!B3</f>
        <v>124000</v>
      </c>
      <c r="E3" s="2">
        <f>B3*(1-Assumptions!$B$3-Assumptions!$B$4)-Model!I3-Model!J3</f>
        <v>30340</v>
      </c>
      <c r="F3" s="2">
        <f>C3*(1-Assumptions!$C$3-Assumptions!$C$4)-Model!I3*(1+Assumptions!$C$5)-Model!J3</f>
        <v>21008.000000000007</v>
      </c>
      <c r="G3" s="2">
        <f>D3*(1-Assumptions!$D$3-Assumptions!$D$4)-Model!I3*(1+Assumptions!$D$5)-Model!J3</f>
        <v>35284</v>
      </c>
    </row>
    <row r="4" spans="1:7" x14ac:dyDescent="0.35">
      <c r="A4" t="s">
        <v>31</v>
      </c>
      <c r="B4" s="2">
        <f>Model!B4</f>
        <v>132000</v>
      </c>
      <c r="C4" s="2">
        <f>Model!B4</f>
        <v>132000</v>
      </c>
      <c r="D4" s="2">
        <f>Model!B4</f>
        <v>132000</v>
      </c>
      <c r="E4" s="2">
        <f>B4*(1-Assumptions!$B$3-Assumptions!$B$4)-Model!I4-Model!J4</f>
        <v>33820</v>
      </c>
      <c r="F4" s="2">
        <f>C4*(1-Assumptions!$C$3-Assumptions!$C$4)-Model!I4*(1+Assumptions!$C$5)-Model!J4</f>
        <v>23950.000000000007</v>
      </c>
      <c r="G4" s="2">
        <f>D4*(1-Assumptions!$D$3-Assumptions!$D$4)-Model!I4*(1+Assumptions!$D$5)-Model!J4</f>
        <v>39115</v>
      </c>
    </row>
    <row r="5" spans="1:7" x14ac:dyDescent="0.35">
      <c r="A5" t="s">
        <v>32</v>
      </c>
      <c r="B5" s="2">
        <f>Model!B5</f>
        <v>128000</v>
      </c>
      <c r="C5" s="2">
        <f>Model!B5</f>
        <v>128000</v>
      </c>
      <c r="D5" s="2">
        <f>Model!B5</f>
        <v>128000</v>
      </c>
      <c r="E5" s="2">
        <f>B5*(1-Assumptions!$B$3-Assumptions!$B$4)-Model!I5-Model!J5</f>
        <v>31480</v>
      </c>
      <c r="F5" s="2">
        <f>C5*(1-Assumptions!$C$3-Assumptions!$C$4)-Model!I5*(1+Assumptions!$C$5)-Model!J5</f>
        <v>21852.000000000007</v>
      </c>
      <c r="G5" s="2">
        <f>D5*(1-Assumptions!$D$3-Assumptions!$D$4)-Model!I5*(1+Assumptions!$D$5)-Model!J5</f>
        <v>36586</v>
      </c>
    </row>
    <row r="6" spans="1:7" x14ac:dyDescent="0.35">
      <c r="A6" t="s">
        <v>33</v>
      </c>
      <c r="B6" s="2">
        <f>Model!B6</f>
        <v>141000</v>
      </c>
      <c r="C6" s="2">
        <f>Model!B6</f>
        <v>141000</v>
      </c>
      <c r="D6" s="2">
        <f>Model!B6</f>
        <v>141000</v>
      </c>
      <c r="E6" s="2">
        <f>B6*(1-Assumptions!$B$3-Assumptions!$B$4)-Model!I6-Model!J6</f>
        <v>37385</v>
      </c>
      <c r="F6" s="2">
        <f>C6*(1-Assumptions!$C$3-Assumptions!$C$4)-Model!I6*(1+Assumptions!$C$5)-Model!J6</f>
        <v>26900.000000000007</v>
      </c>
      <c r="G6" s="2">
        <f>D6*(1-Assumptions!$D$3-Assumptions!$D$4)-Model!I6*(1+Assumptions!$D$5)-Model!J6</f>
        <v>43070</v>
      </c>
    </row>
    <row r="7" spans="1:7" x14ac:dyDescent="0.35">
      <c r="A7" t="s">
        <v>34</v>
      </c>
      <c r="B7" s="2">
        <f>Model!B7</f>
        <v>149000</v>
      </c>
      <c r="C7" s="2">
        <f>Model!B7</f>
        <v>149000</v>
      </c>
      <c r="D7" s="2">
        <f>Model!B7</f>
        <v>149000</v>
      </c>
      <c r="E7" s="2">
        <f>B7*(1-Assumptions!$B$3-Assumptions!$B$4)-Model!I7-Model!J7</f>
        <v>40565</v>
      </c>
      <c r="F7" s="2">
        <f>C7*(1-Assumptions!$C$3-Assumptions!$C$4)-Model!I7*(1+Assumptions!$C$5)-Model!J7</f>
        <v>29530.000000000007</v>
      </c>
      <c r="G7" s="2">
        <f>D7*(1-Assumptions!$D$3-Assumptions!$D$4)-Model!I7*(1+Assumptions!$D$5)-Model!J7</f>
        <v>46595</v>
      </c>
    </row>
    <row r="8" spans="1:7" x14ac:dyDescent="0.35">
      <c r="A8" t="s">
        <v>35</v>
      </c>
      <c r="B8" s="2">
        <f>Model!B8</f>
        <v>155000</v>
      </c>
      <c r="C8" s="2">
        <f>B8*(1+Assumptions!$C$2)</f>
        <v>159650</v>
      </c>
      <c r="D8" s="2">
        <f>B8*(1+Assumptions!$D$2)</f>
        <v>172050.00000000003</v>
      </c>
      <c r="E8" s="2">
        <f>B8*(1-Assumptions!$B$3-Assumptions!$B$4)-Model!I8-Model!J8</f>
        <v>42775</v>
      </c>
      <c r="F8" s="2">
        <f>C8*(1-Assumptions!$C$3-Assumptions!$C$4)-Model!I8*(1+Assumptions!$C$5)-Model!J8</f>
        <v>33273</v>
      </c>
      <c r="G8" s="2">
        <f>D8*(1-Assumptions!$D$3-Assumptions!$D$4)-Model!I8*(1+Assumptions!$D$5)-Model!J8</f>
        <v>58096.500000000015</v>
      </c>
    </row>
    <row r="9" spans="1:7" x14ac:dyDescent="0.35">
      <c r="A9" t="s">
        <v>36</v>
      </c>
      <c r="B9" s="2">
        <f>Model!B9</f>
        <v>162000</v>
      </c>
      <c r="C9" s="2">
        <f>B9*(1+Assumptions!$C$2)</f>
        <v>166860</v>
      </c>
      <c r="D9" s="2">
        <f>B9*(1+Assumptions!$D$2)</f>
        <v>179820.00000000003</v>
      </c>
      <c r="E9" s="2">
        <f>B9*(1-Assumptions!$B$3-Assumptions!$B$4)-Model!I9-Model!J9</f>
        <v>45470</v>
      </c>
      <c r="F9" s="2">
        <f>C9*(1-Assumptions!$C$3-Assumptions!$C$4)-Model!I9*(1+Assumptions!$C$5)-Model!J9</f>
        <v>35571.200000000012</v>
      </c>
      <c r="G9" s="2">
        <f>D9*(1-Assumptions!$D$3-Assumptions!$D$4)-Model!I9*(1+Assumptions!$D$5)-Model!J9</f>
        <v>61499.60000000002</v>
      </c>
    </row>
    <row r="10" spans="1:7" x14ac:dyDescent="0.35">
      <c r="A10" t="s">
        <v>37</v>
      </c>
      <c r="B10" s="2">
        <f>Model!B10</f>
        <v>170000</v>
      </c>
      <c r="C10" s="2">
        <f>B10*(1+Assumptions!$C$2)</f>
        <v>175100</v>
      </c>
      <c r="D10" s="2">
        <f>B10*(1+Assumptions!$D$2)</f>
        <v>188700.00000000003</v>
      </c>
      <c r="E10" s="2">
        <f>B10*(1-Assumptions!$B$3-Assumptions!$B$4)-Model!I10-Model!J10</f>
        <v>48650</v>
      </c>
      <c r="F10" s="2">
        <f>C10*(1-Assumptions!$C$3-Assumptions!$C$4)-Model!I10*(1+Assumptions!$C$5)-Model!J10</f>
        <v>38302</v>
      </c>
      <c r="G10" s="2">
        <f>D10*(1-Assumptions!$D$3-Assumptions!$D$4)-Model!I10*(1+Assumptions!$D$5)-Model!J10</f>
        <v>65491.000000000015</v>
      </c>
    </row>
    <row r="11" spans="1:7" x14ac:dyDescent="0.35">
      <c r="A11" t="s">
        <v>38</v>
      </c>
      <c r="B11" s="2">
        <f>Model!B11</f>
        <v>178000</v>
      </c>
      <c r="C11" s="2">
        <f>B11*(1+Assumptions!$C$2)</f>
        <v>183340</v>
      </c>
      <c r="D11" s="2">
        <f>B11*(1+Assumptions!$D$2)</f>
        <v>197580.00000000003</v>
      </c>
      <c r="E11" s="2">
        <f>B11*(1-Assumptions!$B$3-Assumptions!$B$4)-Model!I11-Model!J11</f>
        <v>51830</v>
      </c>
      <c r="F11" s="2">
        <f>C11*(1-Assumptions!$C$3-Assumptions!$C$4)-Model!I11*(1+Assumptions!$C$5)-Model!J11</f>
        <v>41032.800000000003</v>
      </c>
      <c r="G11" s="2">
        <f>D11*(1-Assumptions!$D$3-Assumptions!$D$4)-Model!I11*(1+Assumptions!$D$5)-Model!J11</f>
        <v>69482.400000000023</v>
      </c>
    </row>
    <row r="12" spans="1:7" x14ac:dyDescent="0.35">
      <c r="A12" t="s">
        <v>39</v>
      </c>
      <c r="B12" s="2">
        <f>Model!B12</f>
        <v>187000</v>
      </c>
      <c r="C12" s="2">
        <f>B12*(1+Assumptions!$C$2)</f>
        <v>192610</v>
      </c>
      <c r="D12" s="2">
        <f>B12*(1+Assumptions!$D$2)</f>
        <v>207570.00000000003</v>
      </c>
      <c r="E12" s="2">
        <f>B12*(1-Assumptions!$B$3-Assumptions!$B$4)-Model!I12-Model!J12</f>
        <v>55495</v>
      </c>
      <c r="F12" s="2">
        <f>C12*(1-Assumptions!$C$3-Assumptions!$C$4)-Model!I12*(1+Assumptions!$C$5)-Model!J12</f>
        <v>44196.200000000012</v>
      </c>
      <c r="G12" s="2">
        <f>D12*(1-Assumptions!$D$3-Assumptions!$D$4)-Model!I12*(1+Assumptions!$D$5)-Model!J12</f>
        <v>74062.10000000002</v>
      </c>
    </row>
    <row r="13" spans="1:7" x14ac:dyDescent="0.35">
      <c r="A13" t="s">
        <v>40</v>
      </c>
      <c r="B13" s="2">
        <f>Model!B13</f>
        <v>196000</v>
      </c>
      <c r="C13" s="2">
        <f>B13*(1+Assumptions!$C$2)</f>
        <v>201880</v>
      </c>
      <c r="D13" s="2">
        <f>B13*(1+Assumptions!$D$2)</f>
        <v>217560.00000000003</v>
      </c>
      <c r="E13" s="2">
        <f>B13*(1-Assumptions!$B$3-Assumptions!$B$4)-Model!I13-Model!J13</f>
        <v>59160</v>
      </c>
      <c r="F13" s="2">
        <f>C13*(1-Assumptions!$C$3-Assumptions!$C$4)-Model!I13*(1+Assumptions!$C$5)-Model!J13</f>
        <v>47359.600000000006</v>
      </c>
      <c r="G13" s="2">
        <f>D13*(1-Assumptions!$D$3-Assumptions!$D$4)-Model!I13*(1+Assumptions!$D$5)-Model!J13</f>
        <v>78641.800000000017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Model</vt:lpstr>
      <vt:lpstr>Assumptions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anusha narayana</cp:lastModifiedBy>
  <dcterms:created xsi:type="dcterms:W3CDTF">2026-09-16T10:43:53Z</dcterms:created>
  <dcterms:modified xsi:type="dcterms:W3CDTF">2026-09-16T10:51:01Z</dcterms:modified>
</cp:coreProperties>
</file>