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"/>
    <numFmt numFmtId="166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/>
    </xf>
    <xf numFmtId="17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and EBITDA</a:t>
            </a:r>
          </a:p>
        </rich>
      </tx>
    </title>
    <plotArea>
      <lineChart>
        <grouping val="standard"/>
        <ser>
          <idx val="0"/>
          <order val="0"/>
          <tx>
            <strRef>
              <f>'Model'!B1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'Model'!$A$2:$A$13</f>
            </numRef>
          </cat>
          <val>
            <numRef>
              <f>'Model'!$B$2:$B$13</f>
            </numRef>
          </val>
        </ser>
        <ser>
          <idx val="1"/>
          <order val="1"/>
          <tx>
            <strRef>
              <f>'Model'!K1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'Model'!$A$2:$A$13</f>
            </numRef>
          </cat>
          <val>
            <numRef>
              <f>'Model'!$K$2:$K$13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PA_Model" displayName="FPA_Model" ref="A1:P13" headerRowCount="1">
  <autoFilter ref="A1:P13"/>
  <tableColumns count="16">
    <tableColumn id="1" name="Month"/>
    <tableColumn id="2" name="Revenue"/>
    <tableColumn id="3" name="COGS %"/>
    <tableColumn id="4" name="COGS"/>
    <tableColumn id="5" name="Gross Profit"/>
    <tableColumn id="6" name="Gross Margin %"/>
    <tableColumn id="7" name="Marketing %"/>
    <tableColumn id="8" name="Marketing"/>
    <tableColumn id="9" name="Payroll"/>
    <tableColumn id="10" name="Other OpEx"/>
    <tableColumn id="11" name="EBITDA"/>
    <tableColumn id="12" name="EBITDA Margin %"/>
    <tableColumn id="13" name="AR Days"/>
    <tableColumn id="14" name="AP Days"/>
    <tableColumn id="15" name="Operating Cash Flow"/>
    <tableColumn id="16" name="Ending Cash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32" customWidth="1" min="4" max="4"/>
    <col width="18" customWidth="1" min="5" max="5"/>
  </cols>
  <sheetData>
    <row r="1">
      <c r="A1" s="1" t="inlineStr">
        <is>
          <t>E-commerce FP&amp;A Dashboard</t>
        </is>
      </c>
    </row>
    <row r="3">
      <c r="A3" s="2" t="inlineStr">
        <is>
          <t>FY2026 Revenue</t>
        </is>
      </c>
      <c r="B3" s="3">
        <f>SUM(Model!B2:B13)</f>
        <v/>
      </c>
      <c r="D3" s="2" t="inlineStr">
        <is>
          <t>Ending Cash</t>
        </is>
      </c>
      <c r="E3" s="3">
        <f>Model!P13</f>
        <v/>
      </c>
    </row>
    <row r="4">
      <c r="A4" s="2" t="inlineStr">
        <is>
          <t>FY2026 EBITDA</t>
        </is>
      </c>
      <c r="B4" s="3">
        <f>SUM(Model!K2:K13)</f>
        <v/>
      </c>
      <c r="D4" s="2" t="inlineStr">
        <is>
          <t>Forecast Revenue (Jul-Dec)</t>
        </is>
      </c>
      <c r="E4" s="3">
        <f>SUM(Model!B8:B13)</f>
        <v/>
      </c>
    </row>
    <row r="5">
      <c r="A5" s="2" t="inlineStr">
        <is>
          <t>Average Gross Margin</t>
        </is>
      </c>
      <c r="B5" s="4">
        <f>AVERAGE(Model!F2:F13)</f>
        <v/>
      </c>
      <c r="D5" s="2" t="inlineStr">
        <is>
          <t>Forecast EBITDA (Jul-Dec)</t>
        </is>
      </c>
      <c r="E5" s="3">
        <f>SUM(Model!K8:K13)</f>
        <v/>
      </c>
    </row>
    <row r="6">
      <c r="A6" s="2" t="inlineStr">
        <is>
          <t>Average EBITDA Margin</t>
        </is>
      </c>
      <c r="B6" s="4">
        <f>AVERAGE(Model!L2:L13)</f>
        <v/>
      </c>
      <c r="D6" s="2" t="inlineStr">
        <is>
          <t>Cash Floor</t>
        </is>
      </c>
      <c r="E6" s="3">
        <f>MIN(Model!P2:P13)</f>
        <v/>
      </c>
    </row>
    <row r="8">
      <c r="A8" s="2" t="inlineStr">
        <is>
          <t>Key management questions</t>
        </is>
      </c>
    </row>
    <row r="9">
      <c r="A9" t="inlineStr">
        <is>
          <t>1. Is revenue growth translating into EBITDA growth?</t>
        </is>
      </c>
    </row>
    <row r="10">
      <c r="A10" t="inlineStr">
        <is>
          <t>2. What happens to cash if AR days increase?</t>
        </is>
      </c>
    </row>
    <row r="11">
      <c r="A11" t="inlineStr">
        <is>
          <t>3. Which assumptions most affect margin?</t>
        </is>
      </c>
    </row>
    <row r="12">
      <c r="A12" t="inlineStr">
        <is>
          <t>4. Where do actuals differ materially from forecast?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5" t="inlineStr">
        <is>
          <t>Month</t>
        </is>
      </c>
      <c r="B1" s="5" t="inlineStr">
        <is>
          <t>Revenue</t>
        </is>
      </c>
      <c r="C1" s="5" t="inlineStr">
        <is>
          <t>COGS %</t>
        </is>
      </c>
      <c r="D1" s="5" t="inlineStr">
        <is>
          <t>COGS</t>
        </is>
      </c>
      <c r="E1" s="5" t="inlineStr">
        <is>
          <t>Gross Profit</t>
        </is>
      </c>
      <c r="F1" s="5" t="inlineStr">
        <is>
          <t>Gross Margin %</t>
        </is>
      </c>
      <c r="G1" s="5" t="inlineStr">
        <is>
          <t>Marketing %</t>
        </is>
      </c>
      <c r="H1" s="5" t="inlineStr">
        <is>
          <t>Marketing</t>
        </is>
      </c>
      <c r="I1" s="5" t="inlineStr">
        <is>
          <t>Payroll</t>
        </is>
      </c>
      <c r="J1" s="5" t="inlineStr">
        <is>
          <t>Other OpEx</t>
        </is>
      </c>
      <c r="K1" s="5" t="inlineStr">
        <is>
          <t>EBITDA</t>
        </is>
      </c>
      <c r="L1" s="5" t="inlineStr">
        <is>
          <t>EBITDA Margin %</t>
        </is>
      </c>
      <c r="M1" s="5" t="inlineStr">
        <is>
          <t>AR Days</t>
        </is>
      </c>
      <c r="N1" s="5" t="inlineStr">
        <is>
          <t>AP Days</t>
        </is>
      </c>
      <c r="O1" s="5" t="inlineStr">
        <is>
          <t>Operating Cash Flow</t>
        </is>
      </c>
      <c r="P1" s="5" t="inlineStr">
        <is>
          <t>Ending Cash</t>
        </is>
      </c>
    </row>
    <row r="2">
      <c r="A2" s="6" t="n">
        <v>46023</v>
      </c>
      <c r="B2" s="3" t="n">
        <v>118000</v>
      </c>
      <c r="C2" s="4" t="n">
        <v>0.41</v>
      </c>
      <c r="D2" s="3">
        <f>B2*C2</f>
        <v/>
      </c>
      <c r="E2" s="3">
        <f>B2-D2</f>
        <v/>
      </c>
      <c r="F2" s="4">
        <f>IFERROR(E2/B2,0)</f>
        <v/>
      </c>
      <c r="G2" s="4" t="n">
        <v>0.14</v>
      </c>
      <c r="H2" s="3">
        <f>B2*G2</f>
        <v/>
      </c>
      <c r="I2" s="3" t="n">
        <v>21000</v>
      </c>
      <c r="J2" s="3" t="n">
        <v>8500</v>
      </c>
      <c r="K2" s="3">
        <f>E2-H2-I2-J2</f>
        <v/>
      </c>
      <c r="L2" s="4">
        <f>IFERROR(K2/B2,0)</f>
        <v/>
      </c>
      <c r="M2" t="n">
        <v>35</v>
      </c>
      <c r="N2" t="n">
        <v>28</v>
      </c>
      <c r="O2" s="3">
        <f>K2-(B2/30*C2)+(D2/30*N2)</f>
        <v/>
      </c>
      <c r="P2" s="3">
        <f>120000+O2</f>
        <v/>
      </c>
    </row>
    <row r="3">
      <c r="A3" s="6" t="n">
        <v>46054</v>
      </c>
      <c r="B3" s="3" t="n">
        <v>124000</v>
      </c>
      <c r="C3" s="4" t="n">
        <v>0.4</v>
      </c>
      <c r="D3" s="3">
        <f>B3*C3</f>
        <v/>
      </c>
      <c r="E3" s="3">
        <f>B3-D3</f>
        <v/>
      </c>
      <c r="F3" s="4">
        <f>IFERROR(E3/B3,0)</f>
        <v/>
      </c>
      <c r="G3" s="4" t="n">
        <v>0.145</v>
      </c>
      <c r="H3" s="3">
        <f>B3*G3</f>
        <v/>
      </c>
      <c r="I3" s="3" t="n">
        <v>21200</v>
      </c>
      <c r="J3" s="3" t="n">
        <v>8600</v>
      </c>
      <c r="K3" s="3">
        <f>E3-H3-I3-J3</f>
        <v/>
      </c>
      <c r="L3" s="4">
        <f>IFERROR(K3/B3,0)</f>
        <v/>
      </c>
      <c r="M3" t="n">
        <v>35</v>
      </c>
      <c r="N3" t="n">
        <v>28</v>
      </c>
      <c r="O3" s="3">
        <f>K3-(B3/30*C3)+(D3/30*N3)</f>
        <v/>
      </c>
      <c r="P3" s="3">
        <f>P2+O3</f>
        <v/>
      </c>
    </row>
    <row r="4">
      <c r="A4" s="6" t="n">
        <v>46082</v>
      </c>
      <c r="B4" s="3" t="n">
        <v>132000</v>
      </c>
      <c r="C4" s="4" t="n">
        <v>0.405</v>
      </c>
      <c r="D4" s="3">
        <f>B4*C4</f>
        <v/>
      </c>
      <c r="E4" s="3">
        <f>B4-D4</f>
        <v/>
      </c>
      <c r="F4" s="4">
        <f>IFERROR(E4/B4,0)</f>
        <v/>
      </c>
      <c r="G4" s="4" t="n">
        <v>0.15</v>
      </c>
      <c r="H4" s="3">
        <f>B4*G4</f>
        <v/>
      </c>
      <c r="I4" s="3" t="n">
        <v>21500</v>
      </c>
      <c r="J4" s="3" t="n">
        <v>8700</v>
      </c>
      <c r="K4" s="3">
        <f>E4-H4-I4-J4</f>
        <v/>
      </c>
      <c r="L4" s="4">
        <f>IFERROR(K4/B4,0)</f>
        <v/>
      </c>
      <c r="M4" t="n">
        <v>35</v>
      </c>
      <c r="N4" t="n">
        <v>28</v>
      </c>
      <c r="O4" s="3">
        <f>K4-(B4/30*C4)+(D4/30*N4)</f>
        <v/>
      </c>
      <c r="P4" s="3">
        <f>P3+O4</f>
        <v/>
      </c>
    </row>
    <row r="5">
      <c r="A5" s="6" t="n">
        <v>46113</v>
      </c>
      <c r="B5" s="3" t="n">
        <v>128000</v>
      </c>
      <c r="C5" s="4" t="n">
        <v>0.42</v>
      </c>
      <c r="D5" s="3">
        <f>B5*C5</f>
        <v/>
      </c>
      <c r="E5" s="3">
        <f>B5-D5</f>
        <v/>
      </c>
      <c r="F5" s="4">
        <f>IFERROR(E5/B5,0)</f>
        <v/>
      </c>
      <c r="G5" s="4" t="n">
        <v>0.148</v>
      </c>
      <c r="H5" s="3">
        <f>B5*G5</f>
        <v/>
      </c>
      <c r="I5" s="3" t="n">
        <v>21800</v>
      </c>
      <c r="J5" s="3" t="n">
        <v>8800</v>
      </c>
      <c r="K5" s="3">
        <f>E5-H5-I5-J5</f>
        <v/>
      </c>
      <c r="L5" s="4">
        <f>IFERROR(K5/B5,0)</f>
        <v/>
      </c>
      <c r="M5" t="n">
        <v>35</v>
      </c>
      <c r="N5" t="n">
        <v>28</v>
      </c>
      <c r="O5" s="3">
        <f>K5-(B5/30*C5)+(D5/30*N5)</f>
        <v/>
      </c>
      <c r="P5" s="3">
        <f>P4+O5</f>
        <v/>
      </c>
    </row>
    <row r="6">
      <c r="A6" s="6" t="n">
        <v>46143</v>
      </c>
      <c r="B6" s="3" t="n">
        <v>141000</v>
      </c>
      <c r="C6" s="4" t="n">
        <v>0.395</v>
      </c>
      <c r="D6" s="3">
        <f>B6*C6</f>
        <v/>
      </c>
      <c r="E6" s="3">
        <f>B6-D6</f>
        <v/>
      </c>
      <c r="F6" s="4">
        <f>IFERROR(E6/B6,0)</f>
        <v/>
      </c>
      <c r="G6" s="4" t="n">
        <v>0.15</v>
      </c>
      <c r="H6" s="3">
        <f>B6*G6</f>
        <v/>
      </c>
      <c r="I6" s="3" t="n">
        <v>22000</v>
      </c>
      <c r="J6" s="3" t="n">
        <v>9000</v>
      </c>
      <c r="K6" s="3">
        <f>E6-H6-I6-J6</f>
        <v/>
      </c>
      <c r="L6" s="4">
        <f>IFERROR(K6/B6,0)</f>
        <v/>
      </c>
      <c r="M6" t="n">
        <v>35</v>
      </c>
      <c r="N6" t="n">
        <v>28</v>
      </c>
      <c r="O6" s="3">
        <f>K6-(B6/30*C6)+(D6/30*N6)</f>
        <v/>
      </c>
      <c r="P6" s="3">
        <f>P5+O6</f>
        <v/>
      </c>
    </row>
    <row r="7">
      <c r="A7" s="6" t="n">
        <v>46174</v>
      </c>
      <c r="B7" s="3" t="n">
        <v>149000</v>
      </c>
      <c r="C7" s="4" t="n">
        <v>0.39</v>
      </c>
      <c r="D7" s="3">
        <f>B7*C7</f>
        <v/>
      </c>
      <c r="E7" s="3">
        <f>B7-D7</f>
        <v/>
      </c>
      <c r="F7" s="4">
        <f>IFERROR(E7/B7,0)</f>
        <v/>
      </c>
      <c r="G7" s="4" t="n">
        <v>0.152</v>
      </c>
      <c r="H7" s="3">
        <f>B7*G7</f>
        <v/>
      </c>
      <c r="I7" s="3" t="n">
        <v>22500</v>
      </c>
      <c r="J7" s="3" t="n">
        <v>9200</v>
      </c>
      <c r="K7" s="3">
        <f>E7-H7-I7-J7</f>
        <v/>
      </c>
      <c r="L7" s="4">
        <f>IFERROR(K7/B7,0)</f>
        <v/>
      </c>
      <c r="M7" t="n">
        <v>35</v>
      </c>
      <c r="N7" t="n">
        <v>28</v>
      </c>
      <c r="O7" s="3">
        <f>K7-(B7/30*C7)+(D7/30*N7)</f>
        <v/>
      </c>
      <c r="P7" s="3">
        <f>P6+O7</f>
        <v/>
      </c>
    </row>
    <row r="8">
      <c r="A8" s="6" t="n">
        <v>46204</v>
      </c>
      <c r="B8" s="3" t="n">
        <v>155000</v>
      </c>
      <c r="C8" s="4" t="n">
        <v>0.385</v>
      </c>
      <c r="D8" s="3">
        <f>B8*C8</f>
        <v/>
      </c>
      <c r="E8" s="3">
        <f>B8-D8</f>
        <v/>
      </c>
      <c r="F8" s="4">
        <f>IFERROR(E8/B8,0)</f>
        <v/>
      </c>
      <c r="G8" s="4" t="n">
        <v>0.15</v>
      </c>
      <c r="H8" s="3">
        <f>B8*G8</f>
        <v/>
      </c>
      <c r="I8" s="3" t="n">
        <v>23000</v>
      </c>
      <c r="J8" s="3" t="n">
        <v>9400</v>
      </c>
      <c r="K8" s="3">
        <f>E8-H8-I8-J8</f>
        <v/>
      </c>
      <c r="L8" s="4">
        <f>IFERROR(K8/B8,0)</f>
        <v/>
      </c>
      <c r="M8" t="n">
        <v>35</v>
      </c>
      <c r="N8" t="n">
        <v>28</v>
      </c>
      <c r="O8" s="3">
        <f>K8-(B8/30*C8)+(D8/30*N8)</f>
        <v/>
      </c>
      <c r="P8" s="3">
        <f>P7+O8</f>
        <v/>
      </c>
    </row>
    <row r="9">
      <c r="A9" s="6" t="n">
        <v>46235</v>
      </c>
      <c r="B9" s="3" t="n">
        <v>162000</v>
      </c>
      <c r="C9" s="4" t="n">
        <v>0.38</v>
      </c>
      <c r="D9" s="3">
        <f>B9*C9</f>
        <v/>
      </c>
      <c r="E9" s="3">
        <f>B9-D9</f>
        <v/>
      </c>
      <c r="F9" s="4">
        <f>IFERROR(E9/B9,0)</f>
        <v/>
      </c>
      <c r="G9" s="4" t="n">
        <v>0.148</v>
      </c>
      <c r="H9" s="3">
        <f>B9*G9</f>
        <v/>
      </c>
      <c r="I9" s="3" t="n">
        <v>23500</v>
      </c>
      <c r="J9" s="3" t="n">
        <v>9600</v>
      </c>
      <c r="K9" s="3">
        <f>E9-H9-I9-J9</f>
        <v/>
      </c>
      <c r="L9" s="4">
        <f>IFERROR(K9/B9,0)</f>
        <v/>
      </c>
      <c r="M9" t="n">
        <v>35</v>
      </c>
      <c r="N9" t="n">
        <v>28</v>
      </c>
      <c r="O9" s="3">
        <f>K9-(B9/30*C9)+(D9/30*N9)</f>
        <v/>
      </c>
      <c r="P9" s="3">
        <f>P8+O9</f>
        <v/>
      </c>
    </row>
    <row r="10">
      <c r="A10" s="6" t="n">
        <v>46266</v>
      </c>
      <c r="B10" s="3" t="n">
        <v>170000</v>
      </c>
      <c r="C10" s="4" t="n">
        <v>0.38</v>
      </c>
      <c r="D10" s="3">
        <f>B10*C10</f>
        <v/>
      </c>
      <c r="E10" s="3">
        <f>B10-D10</f>
        <v/>
      </c>
      <c r="F10" s="4">
        <f>IFERROR(E10/B10,0)</f>
        <v/>
      </c>
      <c r="G10" s="4" t="n">
        <v>0.145</v>
      </c>
      <c r="H10" s="3">
        <f>B10*G10</f>
        <v/>
      </c>
      <c r="I10" s="3" t="n">
        <v>24000</v>
      </c>
      <c r="J10" s="3" t="n">
        <v>9800</v>
      </c>
      <c r="K10" s="3">
        <f>E10-H10-I10-J10</f>
        <v/>
      </c>
      <c r="L10" s="4">
        <f>IFERROR(K10/B10,0)</f>
        <v/>
      </c>
      <c r="M10" t="n">
        <v>35</v>
      </c>
      <c r="N10" t="n">
        <v>28</v>
      </c>
      <c r="O10" s="3">
        <f>K10-(B10/30*C10)+(D10/30*N10)</f>
        <v/>
      </c>
      <c r="P10" s="3">
        <f>P9+O10</f>
        <v/>
      </c>
    </row>
    <row r="11">
      <c r="A11" s="6" t="n">
        <v>46296</v>
      </c>
      <c r="B11" s="3" t="n">
        <v>178000</v>
      </c>
      <c r="C11" s="4" t="n">
        <v>0.375</v>
      </c>
      <c r="D11" s="3">
        <f>B11*C11</f>
        <v/>
      </c>
      <c r="E11" s="3">
        <f>B11-D11</f>
        <v/>
      </c>
      <c r="F11" s="4">
        <f>IFERROR(E11/B11,0)</f>
        <v/>
      </c>
      <c r="G11" s="4" t="n">
        <v>0.143</v>
      </c>
      <c r="H11" s="3">
        <f>B11*G11</f>
        <v/>
      </c>
      <c r="I11" s="3" t="n">
        <v>24500</v>
      </c>
      <c r="J11" s="3" t="n">
        <v>10000</v>
      </c>
      <c r="K11" s="3">
        <f>E11-H11-I11-J11</f>
        <v/>
      </c>
      <c r="L11" s="4">
        <f>IFERROR(K11/B11,0)</f>
        <v/>
      </c>
      <c r="M11" t="n">
        <v>35</v>
      </c>
      <c r="N11" t="n">
        <v>28</v>
      </c>
      <c r="O11" s="3">
        <f>K11-(B11/30*C11)+(D11/30*N11)</f>
        <v/>
      </c>
      <c r="P11" s="3">
        <f>P10+O11</f>
        <v/>
      </c>
    </row>
    <row r="12">
      <c r="A12" s="6" t="n">
        <v>46327</v>
      </c>
      <c r="B12" s="3" t="n">
        <v>187000</v>
      </c>
      <c r="C12" s="4" t="n">
        <v>0.37</v>
      </c>
      <c r="D12" s="3">
        <f>B12*C12</f>
        <v/>
      </c>
      <c r="E12" s="3">
        <f>B12-D12</f>
        <v/>
      </c>
      <c r="F12" s="4">
        <f>IFERROR(E12/B12,0)</f>
        <v/>
      </c>
      <c r="G12" s="4" t="n">
        <v>0.14</v>
      </c>
      <c r="H12" s="3">
        <f>B12*G12</f>
        <v/>
      </c>
      <c r="I12" s="3" t="n">
        <v>25000</v>
      </c>
      <c r="J12" s="3" t="n">
        <v>10200</v>
      </c>
      <c r="K12" s="3">
        <f>E12-H12-I12-J12</f>
        <v/>
      </c>
      <c r="L12" s="4">
        <f>IFERROR(K12/B12,0)</f>
        <v/>
      </c>
      <c r="M12" t="n">
        <v>35</v>
      </c>
      <c r="N12" t="n">
        <v>28</v>
      </c>
      <c r="O12" s="3">
        <f>K12-(B12/30*C12)+(D12/30*N12)</f>
        <v/>
      </c>
      <c r="P12" s="3">
        <f>P11+O12</f>
        <v/>
      </c>
    </row>
    <row r="13">
      <c r="A13" s="6" t="n">
        <v>46357</v>
      </c>
      <c r="B13" s="3" t="n">
        <v>196000</v>
      </c>
      <c r="C13" s="4" t="n">
        <v>0.37</v>
      </c>
      <c r="D13" s="3">
        <f>B13*C13</f>
        <v/>
      </c>
      <c r="E13" s="3">
        <f>B13-D13</f>
        <v/>
      </c>
      <c r="F13" s="4">
        <f>IFERROR(E13/B13,0)</f>
        <v/>
      </c>
      <c r="G13" s="4" t="n">
        <v>0.14</v>
      </c>
      <c r="H13" s="3">
        <f>B13*G13</f>
        <v/>
      </c>
      <c r="I13" s="3" t="n">
        <v>25500</v>
      </c>
      <c r="J13" s="3" t="n">
        <v>10400</v>
      </c>
      <c r="K13" s="3">
        <f>E13-H13-I13-J13</f>
        <v/>
      </c>
      <c r="L13" s="4">
        <f>IFERROR(K13/B13,0)</f>
        <v/>
      </c>
      <c r="M13" t="n">
        <v>35</v>
      </c>
      <c r="N13" t="n">
        <v>28</v>
      </c>
      <c r="O13" s="3">
        <f>K13-(B13/30*C13)+(D13/30*N13)</f>
        <v/>
      </c>
      <c r="P13" s="3">
        <f>P12+O13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7" t="inlineStr">
        <is>
          <t>Assumption</t>
        </is>
      </c>
      <c r="B1" s="7" t="inlineStr">
        <is>
          <t>Base</t>
        </is>
      </c>
      <c r="C1" s="7" t="inlineStr">
        <is>
          <t>Downside</t>
        </is>
      </c>
      <c r="D1" s="7" t="inlineStr">
        <is>
          <t>Upside</t>
        </is>
      </c>
    </row>
    <row r="2">
      <c r="A2" t="inlineStr">
        <is>
          <t>Revenue growth (forecast avg)</t>
        </is>
      </c>
      <c r="B2" s="4" t="n">
        <v>0.075</v>
      </c>
      <c r="C2" s="4" t="n">
        <v>0.03</v>
      </c>
      <c r="D2" s="4" t="n">
        <v>0.11</v>
      </c>
    </row>
    <row r="3">
      <c r="A3" t="inlineStr">
        <is>
          <t>COGS %</t>
        </is>
      </c>
      <c r="B3" s="4" t="n">
        <v>0.375</v>
      </c>
      <c r="C3" s="4" t="n">
        <v>0.41</v>
      </c>
      <c r="D3" s="4" t="n">
        <v>0.35</v>
      </c>
    </row>
    <row r="4">
      <c r="A4" t="inlineStr">
        <is>
          <t>Marketing %</t>
        </is>
      </c>
      <c r="B4" s="4" t="n">
        <v>0.14</v>
      </c>
      <c r="C4" s="4" t="n">
        <v>0.17</v>
      </c>
      <c r="D4" s="4" t="n">
        <v>0.12</v>
      </c>
    </row>
    <row r="5">
      <c r="A5" t="inlineStr">
        <is>
          <t>Payroll growth</t>
        </is>
      </c>
      <c r="B5" s="4" t="n">
        <v>0.04</v>
      </c>
      <c r="C5" s="4" t="n">
        <v>0.06</v>
      </c>
      <c r="D5" s="4" t="n">
        <v>0.03</v>
      </c>
    </row>
    <row r="6">
      <c r="A6" t="inlineStr">
        <is>
          <t>AR days</t>
        </is>
      </c>
      <c r="B6" t="n">
        <v>35</v>
      </c>
      <c r="C6" t="n">
        <v>45</v>
      </c>
      <c r="D6" t="n">
        <v>30</v>
      </c>
    </row>
    <row r="7">
      <c r="A7" t="inlineStr">
        <is>
          <t>AP days</t>
        </is>
      </c>
      <c r="B7" t="n">
        <v>28</v>
      </c>
      <c r="C7" t="n">
        <v>21</v>
      </c>
      <c r="D7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8" t="inlineStr">
        <is>
          <t>Month</t>
        </is>
      </c>
      <c r="B1" s="8" t="inlineStr">
        <is>
          <t>Base Revenue</t>
        </is>
      </c>
      <c r="C1" s="8" t="inlineStr">
        <is>
          <t>Downside Revenue</t>
        </is>
      </c>
      <c r="D1" s="8" t="inlineStr">
        <is>
          <t>Upside Revenue</t>
        </is>
      </c>
      <c r="E1" s="8" t="inlineStr">
        <is>
          <t>Base EBITDA</t>
        </is>
      </c>
      <c r="F1" s="8" t="inlineStr">
        <is>
          <t>Downside EBITDA</t>
        </is>
      </c>
      <c r="G1" s="8" t="inlineStr">
        <is>
          <t>Upside EBITDA</t>
        </is>
      </c>
    </row>
    <row r="2">
      <c r="A2" s="6" t="n">
        <v>46023</v>
      </c>
      <c r="B2" s="3" t="n">
        <v>118000</v>
      </c>
      <c r="C2" s="3" t="n">
        <v>118000</v>
      </c>
      <c r="D2" s="3" t="n">
        <v>118000</v>
      </c>
      <c r="E2" s="3">
        <f>B2*(1-Assumptions!$B$3-Assumptions!$B$4)-Model!I2-Model!J2</f>
        <v/>
      </c>
      <c r="F2" s="3">
        <f>C2*(1-Assumptions!$C$3-Assumptions!$C$4)-Model!I2*(1+Assumptions!$C$5)-Model!J2</f>
        <v/>
      </c>
      <c r="G2" s="3">
        <f>D2*(1-Assumptions!$D$3-Assumptions!$D$4)-Model!I2*(1+Assumptions!$D$5)-Model!J2</f>
        <v/>
      </c>
    </row>
    <row r="3">
      <c r="A3" s="6" t="n">
        <v>46054</v>
      </c>
      <c r="B3" s="3" t="n">
        <v>124000</v>
      </c>
      <c r="C3" s="3" t="n">
        <v>124000</v>
      </c>
      <c r="D3" s="3" t="n">
        <v>124000</v>
      </c>
      <c r="E3" s="3">
        <f>B3*(1-Assumptions!$B$3-Assumptions!$B$4)-Model!I3-Model!J3</f>
        <v/>
      </c>
      <c r="F3" s="3">
        <f>C3*(1-Assumptions!$C$3-Assumptions!$C$4)-Model!I3*(1+Assumptions!$C$5)-Model!J3</f>
        <v/>
      </c>
      <c r="G3" s="3">
        <f>D3*(1-Assumptions!$D$3-Assumptions!$D$4)-Model!I3*(1+Assumptions!$D$5)-Model!J3</f>
        <v/>
      </c>
    </row>
    <row r="4">
      <c r="A4" s="6" t="n">
        <v>46082</v>
      </c>
      <c r="B4" s="3" t="n">
        <v>132000</v>
      </c>
      <c r="C4" s="3" t="n">
        <v>132000</v>
      </c>
      <c r="D4" s="3" t="n">
        <v>132000</v>
      </c>
      <c r="E4" s="3">
        <f>B4*(1-Assumptions!$B$3-Assumptions!$B$4)-Model!I4-Model!J4</f>
        <v/>
      </c>
      <c r="F4" s="3">
        <f>C4*(1-Assumptions!$C$3-Assumptions!$C$4)-Model!I4*(1+Assumptions!$C$5)-Model!J4</f>
        <v/>
      </c>
      <c r="G4" s="3">
        <f>D4*(1-Assumptions!$D$3-Assumptions!$D$4)-Model!I4*(1+Assumptions!$D$5)-Model!J4</f>
        <v/>
      </c>
    </row>
    <row r="5">
      <c r="A5" s="6" t="n">
        <v>46113</v>
      </c>
      <c r="B5" s="3" t="n">
        <v>128000</v>
      </c>
      <c r="C5" s="3" t="n">
        <v>128000</v>
      </c>
      <c r="D5" s="3" t="n">
        <v>128000</v>
      </c>
      <c r="E5" s="3">
        <f>B5*(1-Assumptions!$B$3-Assumptions!$B$4)-Model!I5-Model!J5</f>
        <v/>
      </c>
      <c r="F5" s="3">
        <f>C5*(1-Assumptions!$C$3-Assumptions!$C$4)-Model!I5*(1+Assumptions!$C$5)-Model!J5</f>
        <v/>
      </c>
      <c r="G5" s="3">
        <f>D5*(1-Assumptions!$D$3-Assumptions!$D$4)-Model!I5*(1+Assumptions!$D$5)-Model!J5</f>
        <v/>
      </c>
    </row>
    <row r="6">
      <c r="A6" s="6" t="n">
        <v>46143</v>
      </c>
      <c r="B6" s="3" t="n">
        <v>141000</v>
      </c>
      <c r="C6" s="3" t="n">
        <v>141000</v>
      </c>
      <c r="D6" s="3" t="n">
        <v>141000</v>
      </c>
      <c r="E6" s="3">
        <f>B6*(1-Assumptions!$B$3-Assumptions!$B$4)-Model!I6-Model!J6</f>
        <v/>
      </c>
      <c r="F6" s="3">
        <f>C6*(1-Assumptions!$C$3-Assumptions!$C$4)-Model!I6*(1+Assumptions!$C$5)-Model!J6</f>
        <v/>
      </c>
      <c r="G6" s="3">
        <f>D6*(1-Assumptions!$D$3-Assumptions!$D$4)-Model!I6*(1+Assumptions!$D$5)-Model!J6</f>
        <v/>
      </c>
    </row>
    <row r="7">
      <c r="A7" s="6" t="n">
        <v>46174</v>
      </c>
      <c r="B7" s="3" t="n">
        <v>149000</v>
      </c>
      <c r="C7" s="3" t="n">
        <v>149000</v>
      </c>
      <c r="D7" s="3" t="n">
        <v>149000</v>
      </c>
      <c r="E7" s="3">
        <f>B7*(1-Assumptions!$B$3-Assumptions!$B$4)-Model!I7-Model!J7</f>
        <v/>
      </c>
      <c r="F7" s="3">
        <f>C7*(1-Assumptions!$C$3-Assumptions!$C$4)-Model!I7*(1+Assumptions!$C$5)-Model!J7</f>
        <v/>
      </c>
      <c r="G7" s="3">
        <f>D7*(1-Assumptions!$D$3-Assumptions!$D$4)-Model!I7*(1+Assumptions!$D$5)-Model!J7</f>
        <v/>
      </c>
    </row>
    <row r="8">
      <c r="A8" s="6" t="n">
        <v>46204</v>
      </c>
      <c r="B8" s="3" t="n">
        <v>160175</v>
      </c>
      <c r="C8" s="3" t="n">
        <v>152967.125</v>
      </c>
      <c r="D8" s="3" t="n">
        <v>165781.125</v>
      </c>
      <c r="E8" s="3">
        <f>B8*(1-Assumptions!$B$3-Assumptions!$B$4)-Model!I8-Model!J8</f>
        <v/>
      </c>
      <c r="F8" s="3">
        <f>C8*(1-Assumptions!$C$3-Assumptions!$C$4)-Model!I8*(1+Assumptions!$C$5)-Model!J8</f>
        <v/>
      </c>
      <c r="G8" s="3">
        <f>D8*(1-Assumptions!$D$3-Assumptions!$D$4)-Model!I8*(1+Assumptions!$D$5)-Model!J8</f>
        <v/>
      </c>
    </row>
    <row r="9">
      <c r="A9" s="6" t="n">
        <v>46235</v>
      </c>
      <c r="B9" s="3" t="n">
        <v>166625</v>
      </c>
      <c r="C9" s="3" t="n">
        <v>159126.875</v>
      </c>
      <c r="D9" s="3" t="n">
        <v>172456.875</v>
      </c>
      <c r="E9" s="3">
        <f>B9*(1-Assumptions!$B$3-Assumptions!$B$4)-Model!I9-Model!J9</f>
        <v/>
      </c>
      <c r="F9" s="3">
        <f>C9*(1-Assumptions!$C$3-Assumptions!$C$4)-Model!I9*(1+Assumptions!$C$5)-Model!J9</f>
        <v/>
      </c>
      <c r="G9" s="3">
        <f>D9*(1-Assumptions!$D$3-Assumptions!$D$4)-Model!I9*(1+Assumptions!$D$5)-Model!J9</f>
        <v/>
      </c>
    </row>
    <row r="10">
      <c r="A10" s="6" t="n">
        <v>46266</v>
      </c>
      <c r="B10" s="3" t="n">
        <v>174150</v>
      </c>
      <c r="C10" s="3" t="n">
        <v>166313.25</v>
      </c>
      <c r="D10" s="3" t="n">
        <v>180245.25</v>
      </c>
      <c r="E10" s="3">
        <f>B10*(1-Assumptions!$B$3-Assumptions!$B$4)-Model!I10-Model!J10</f>
        <v/>
      </c>
      <c r="F10" s="3">
        <f>C10*(1-Assumptions!$C$3-Assumptions!$C$4)-Model!I10*(1+Assumptions!$C$5)-Model!J10</f>
        <v/>
      </c>
      <c r="G10" s="3">
        <f>D10*(1-Assumptions!$D$3-Assumptions!$D$4)-Model!I10*(1+Assumptions!$D$5)-Model!J10</f>
        <v/>
      </c>
    </row>
    <row r="11">
      <c r="A11" s="6" t="n">
        <v>46296</v>
      </c>
      <c r="B11" s="3" t="n">
        <v>182750</v>
      </c>
      <c r="C11" s="3" t="n">
        <v>174526.25</v>
      </c>
      <c r="D11" s="3" t="n">
        <v>189146.25</v>
      </c>
      <c r="E11" s="3">
        <f>B11*(1-Assumptions!$B$3-Assumptions!$B$4)-Model!I11-Model!J11</f>
        <v/>
      </c>
      <c r="F11" s="3">
        <f>C11*(1-Assumptions!$C$3-Assumptions!$C$4)-Model!I11*(1+Assumptions!$C$5)-Model!J11</f>
        <v/>
      </c>
      <c r="G11" s="3">
        <f>D11*(1-Assumptions!$D$3-Assumptions!$D$4)-Model!I11*(1+Assumptions!$D$5)-Model!J11</f>
        <v/>
      </c>
    </row>
    <row r="12">
      <c r="A12" s="6" t="n">
        <v>46327</v>
      </c>
      <c r="B12" s="3" t="n">
        <v>191350</v>
      </c>
      <c r="C12" s="3" t="n">
        <v>182739.25</v>
      </c>
      <c r="D12" s="3" t="n">
        <v>198047.25</v>
      </c>
      <c r="E12" s="3">
        <f>B12*(1-Assumptions!$B$3-Assumptions!$B$4)-Model!I12-Model!J12</f>
        <v/>
      </c>
      <c r="F12" s="3">
        <f>C12*(1-Assumptions!$C$3-Assumptions!$C$4)-Model!I12*(1+Assumptions!$C$5)-Model!J12</f>
        <v/>
      </c>
      <c r="G12" s="3">
        <f>D12*(1-Assumptions!$D$3-Assumptions!$D$4)-Model!I12*(1+Assumptions!$D$5)-Model!J12</f>
        <v/>
      </c>
    </row>
    <row r="13">
      <c r="A13" s="6" t="n">
        <v>46357</v>
      </c>
      <c r="B13" s="3" t="n">
        <v>201025</v>
      </c>
      <c r="C13" s="3" t="n">
        <v>191978.875</v>
      </c>
      <c r="D13" s="3" t="n">
        <v>208060.875</v>
      </c>
      <c r="E13" s="3">
        <f>B13*(1-Assumptions!$B$3-Assumptions!$B$4)-Model!I13-Model!J13</f>
        <v/>
      </c>
      <c r="F13" s="3">
        <f>C13*(1-Assumptions!$C$3-Assumptions!$C$4)-Model!I13*(1+Assumptions!$C$5)-Model!J13</f>
        <v/>
      </c>
      <c r="G13" s="3">
        <f>D13*(1-Assumptions!$D$3-Assumptions!$D$4)-Model!I13*(1+Assumptions!$D$5)-Model!J13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2026-09-16T06:38:45Z</dcterms:created>
  <dcterms:modified xmlns:dcterms="http://purl.org/dc/terms/" xmlns:xsi="http://www.w3.org/2001/XMLSchema-instance" xsi:type="dcterms:W3CDTF">2026-09-16T06:38:45Z</dcterms:modified>
</cp:coreProperties>
</file>